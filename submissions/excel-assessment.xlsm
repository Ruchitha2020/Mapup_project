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Ruchitha jupyter notebook\Mapup\MapUp-DA-Assessment-2024\"/>
    </mc:Choice>
  </mc:AlternateContent>
  <xr:revisionPtr revIDLastSave="0" documentId="13_ncr:1_{230F26AB-69B2-4EA4-920A-840B7EEC2DE0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19" l="1"/>
  <c r="C30" i="18"/>
  <c r="D30" i="18"/>
  <c r="E30" i="18"/>
  <c r="F30" i="18"/>
  <c r="B30" i="18"/>
  <c r="C29" i="18"/>
  <c r="D29" i="18"/>
  <c r="E29" i="18"/>
  <c r="F29" i="18"/>
  <c r="B29" i="18"/>
  <c r="D28" i="18"/>
  <c r="E28" i="18"/>
  <c r="F28" i="18"/>
  <c r="C28" i="18"/>
  <c r="B28" i="18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F6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  <c r="A5" i="18"/>
</calcChain>
</file>

<file path=xl/sharedStrings.xml><?xml version="1.0" encoding="utf-8"?>
<sst xmlns="http://schemas.openxmlformats.org/spreadsheetml/2006/main" count="409" uniqueCount="187">
  <si>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</si>
  <si>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</si>
  <si>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</si>
  <si>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</si>
  <si>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</si>
  <si>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</si>
  <si>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</si>
  <si>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</si>
  <si>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</si>
  <si>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</si>
  <si>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</si>
  <si>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</si>
  <si>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</si>
  <si>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</si>
  <si>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</si>
  <si>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</si>
  <si>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</si>
  <si>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</si>
  <si>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</si>
  <si>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</si>
  <si>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</si>
  <si>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</si>
  <si>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</si>
  <si>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</si>
  <si>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</si>
  <si>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</si>
  <si>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</si>
  <si>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</si>
  <si>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</si>
  <si>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</si>
  <si>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</si>
  <si>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</si>
  <si>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</si>
  <si>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</si>
  <si>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</si>
  <si>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</si>
  <si>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</si>
  <si>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</si>
  <si>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</si>
  <si>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</si>
  <si>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</si>
  <si>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</si>
  <si>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</si>
  <si>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</si>
  <si>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</si>
  <si>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</si>
  <si>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</si>
  <si>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</si>
  <si>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</si>
  <si>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</si>
  <si>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</si>
  <si>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</si>
  <si>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</si>
  <si>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</si>
  <si>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</si>
  <si>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</si>
  <si>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</si>
  <si>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</si>
  <si>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</si>
  <si>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</si>
  <si>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</si>
  <si>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</si>
  <si>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</si>
  <si>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</si>
  <si>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</si>
  <si>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</si>
  <si>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</si>
  <si>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</si>
  <si>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</si>
  <si>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</si>
  <si>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</si>
  <si>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</si>
  <si>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</si>
  <si>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</si>
  <si>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</si>
  <si>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</si>
  <si>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</si>
  <si>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</si>
  <si>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</si>
  <si>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</si>
  <si>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</si>
  <si>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</si>
  <si>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</si>
  <si>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</si>
  <si>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</si>
  <si>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</si>
  <si>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</si>
  <si>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</si>
  <si>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</si>
  <si>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</si>
  <si>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</si>
  <si>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</si>
  <si>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</si>
  <si>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</si>
  <si>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</si>
  <si>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</si>
  <si>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</si>
  <si>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</si>
  <si>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</si>
  <si>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</si>
  <si>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</si>
  <si>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</si>
  <si>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</si>
  <si>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</si>
  <si>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</si>
  <si>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</si>
  <si>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</si>
  <si>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</si>
  <si>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</si>
  <si>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</si>
  <si>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</si>
  <si>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</si>
  <si>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</si>
  <si>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</si>
  <si>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</si>
  <si>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</si>
  <si>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</si>
  <si>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</si>
  <si>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</si>
  <si>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</si>
  <si>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</si>
  <si>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</si>
  <si>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</si>
  <si>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</si>
  <si>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</si>
  <si>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</si>
  <si>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</si>
  <si>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</si>
  <si>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</si>
  <si>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</si>
  <si>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</si>
  <si>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</si>
  <si>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</si>
  <si>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</si>
  <si>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</si>
  <si>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</si>
  <si>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</si>
  <si>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</si>
  <si>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</si>
  <si>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</si>
  <si>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</si>
  <si>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</si>
  <si>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</si>
  <si>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</si>
  <si>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</si>
  <si>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</si>
  <si>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</si>
  <si>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</si>
  <si>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</si>
  <si>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</si>
  <si>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</si>
  <si>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</si>
  <si>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</si>
  <si>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</si>
  <si>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</si>
  <si>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</si>
  <si>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</si>
  <si>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</si>
  <si>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</si>
  <si>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</si>
  <si>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</si>
  <si>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</si>
  <si>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</si>
  <si>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</si>
  <si>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</si>
  <si>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</si>
  <si>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</si>
  <si>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</si>
  <si>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</si>
  <si>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</si>
  <si>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</si>
  <si>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</si>
  <si>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</si>
  <si>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</si>
  <si>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</si>
  <si>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</si>
  <si>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</si>
  <si>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SUMIF(H2:H40,"&gt;20",H2:H40)</t>
  </si>
  <si>
    <t>Text to Column</t>
  </si>
  <si>
    <t>Step 1: Go to Data &gt; Text to column</t>
  </si>
  <si>
    <t>Step 2: Select the column that has data to split across multiple columns based on a specific delimiter</t>
  </si>
  <si>
    <t>Step 4: Under Delimiters, select Others and provide delimiter as "-" then click Next</t>
  </si>
  <si>
    <t>Step 5: Under Column data format, select General and click Finish.</t>
  </si>
  <si>
    <t>Step 3: Choose the file type that best describe your data, select Delimited and Click Next</t>
  </si>
  <si>
    <t>To apply "Text to Column", I have used the below steps:</t>
  </si>
  <si>
    <t>Find and Replace and Sum function</t>
  </si>
  <si>
    <t>Select the column that has values that needs to be replaced. Press Ctrl+F, a dialog box for "Find and Replace" will open. Then, Select "Replace" and provide what value that needs to be replaced that is "#N/A" and provide replace value that is "20" and select "Replace All" option. Then applied sum function to find the total sales "SUM(C12:C21)".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</si>
</sst>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5" sqref="A5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2" activePane="bottomLeft" state="frozen"/>
      <selection pane="bottomLeft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3">
      <c r="H41" s="1">
        <f>SUMIF(H2:H40,"&gt;20",H2:H40)</f>
        <v>1473.0000000000002</v>
      </c>
    </row>
  </sheetData>
  <autoFilter ref="A1:X41" xr:uid="{00000000-0001-0000-0000-000000000000}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1048576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/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>
        <f ca="1">A5</f>
        <v>0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_xlfn.XLOOKUP(A6,Dataset!A:A,Dataset!G:G)</f>
        <v>2.7</v>
      </c>
      <c r="C6" s="12">
        <f>_xlfn.XLOOKUP(A6,Dataset!A:A,Dataset!N:N)</f>
        <v>7.6</v>
      </c>
      <c r="D6" s="12">
        <f>_xlfn.XLOOKUP(A6,Dataset!A:A,Dataset!R:R)</f>
        <v>4.2</v>
      </c>
      <c r="E6" s="12">
        <f>_xlfn.XLOOKUP(A6,Dataset!A:A,Dataset!T:T)</f>
        <v>8.9</v>
      </c>
      <c r="F6" s="8">
        <f>_xlfn.XLOOKUP(A6,Dataset!A:A,Dataset!V:V)</f>
        <v>4.2</v>
      </c>
    </row>
    <row r="7" spans="1:7" ht="14.4" x14ac:dyDescent="0.3">
      <c r="A7" s="7" t="s">
        <v>4</v>
      </c>
      <c r="B7" s="12">
        <f>_xlfn.XLOOKUP(A7,Dataset!A:A,Dataset!G:G)</f>
        <v>2.7</v>
      </c>
      <c r="C7" s="12">
        <f>_xlfn.XLOOKUP(A7,Dataset!A:A,Dataset!N:N)</f>
        <v>7.6</v>
      </c>
      <c r="D7" s="12">
        <f>_xlfn.XLOOKUP(A7,Dataset!A:A,Dataset!R:R)</f>
        <v>4.2</v>
      </c>
      <c r="E7" s="12">
        <f>_xlfn.XLOOKUP(A7,Dataset!A:A,Dataset!T:T)</f>
        <v>8.9</v>
      </c>
      <c r="F7" s="8">
        <f>_xlfn.XLOOKUP(A7,Dataset!A:A,Dataset!V:V)</f>
        <v>4.2</v>
      </c>
    </row>
    <row r="8" spans="1:7" ht="14.4" x14ac:dyDescent="0.3">
      <c r="A8" s="7" t="s">
        <v>7</v>
      </c>
      <c r="B8" s="12">
        <f>_xlfn.XLOOKUP(A8,Dataset!A:A,Dataset!G:G)</f>
        <v>3.6</v>
      </c>
      <c r="C8" s="12">
        <f>_xlfn.XLOOKUP(A8,Dataset!A:A,Dataset!N:N)</f>
        <v>11.1</v>
      </c>
      <c r="D8" s="12">
        <f>_xlfn.XLOOKUP(A8,Dataset!A:A,Dataset!R:R)</f>
        <v>5.8</v>
      </c>
      <c r="E8" s="12">
        <f>_xlfn.XLOOKUP(A8,Dataset!A:A,Dataset!T:T)</f>
        <v>12.2</v>
      </c>
      <c r="F8" s="8">
        <f>_xlfn.XLOOKUP(A8,Dataset!A:A,Dataset!V:V)</f>
        <v>5.8</v>
      </c>
    </row>
    <row r="9" spans="1:7" ht="14.4" x14ac:dyDescent="0.3">
      <c r="A9" s="7" t="s">
        <v>8</v>
      </c>
      <c r="B9" s="12">
        <f>_xlfn.XLOOKUP(A9,Dataset!A:A,Dataset!G:G)</f>
        <v>4.9000000000000004</v>
      </c>
      <c r="C9" s="12">
        <f>_xlfn.XLOOKUP(A9,Dataset!A:A,Dataset!N:N)</f>
        <v>13.3</v>
      </c>
      <c r="D9" s="12">
        <f>_xlfn.XLOOKUP(A9,Dataset!A:A,Dataset!R:R)</f>
        <v>8.1</v>
      </c>
      <c r="E9" s="12">
        <f>_xlfn.XLOOKUP(A9,Dataset!A:A,Dataset!T:T)</f>
        <v>17</v>
      </c>
      <c r="F9" s="8">
        <f>_xlfn.XLOOKUP(A9,Dataset!A:A,Dataset!V:V)</f>
        <v>8.1</v>
      </c>
    </row>
    <row r="10" spans="1:7" ht="14.4" x14ac:dyDescent="0.3">
      <c r="A10" s="7" t="s">
        <v>11</v>
      </c>
      <c r="B10" s="12">
        <f>_xlfn.XLOOKUP(A10,Dataset!A:A,Dataset!G:G)</f>
        <v>9.4</v>
      </c>
      <c r="C10" s="12">
        <f>_xlfn.XLOOKUP(A10,Dataset!A:A,Dataset!N:N)</f>
        <v>28.3</v>
      </c>
      <c r="D10" s="12">
        <f>_xlfn.XLOOKUP(A10,Dataset!A:A,Dataset!R:R)</f>
        <v>16.100000000000001</v>
      </c>
      <c r="E10" s="12">
        <f>_xlfn.XLOOKUP(A10,Dataset!A:A,Dataset!T:T)</f>
        <v>32.799999999999997</v>
      </c>
      <c r="F10" s="8">
        <f>_xlfn.XLOOKUP(A10,Dataset!A:A,Dataset!V:V)</f>
        <v>16.100000000000001</v>
      </c>
    </row>
    <row r="11" spans="1:7" ht="14.4" x14ac:dyDescent="0.3">
      <c r="A11" s="7" t="s">
        <v>12</v>
      </c>
      <c r="B11" s="12">
        <f>_xlfn.XLOOKUP(A11,Dataset!A:A,Dataset!G:G)</f>
        <v>11.6</v>
      </c>
      <c r="C11" s="12">
        <f>_xlfn.XLOOKUP(A11,Dataset!A:A,Dataset!N:N)</f>
        <v>35.200000000000003</v>
      </c>
      <c r="D11" s="12">
        <f>_xlfn.XLOOKUP(A11,Dataset!A:A,Dataset!R:R)</f>
        <v>21.3</v>
      </c>
      <c r="E11" s="12">
        <f>_xlfn.XLOOKUP(A11,Dataset!A:A,Dataset!T:T)</f>
        <v>43</v>
      </c>
      <c r="F11" s="8">
        <f>_xlfn.XLOOKUP(A11,Dataset!A:A,Dataset!V:V)</f>
        <v>21.3</v>
      </c>
    </row>
    <row r="12" spans="1:7" ht="14.4" x14ac:dyDescent="0.3">
      <c r="A12" s="7" t="s">
        <v>14</v>
      </c>
      <c r="B12" s="12">
        <f>_xlfn.XLOOKUP(A12,Dataset!A:A,Dataset!G:G)</f>
        <v>18.399999999999999</v>
      </c>
      <c r="C12" s="12">
        <f>_xlfn.XLOOKUP(A12,Dataset!A:A,Dataset!N:N)</f>
        <v>55.6</v>
      </c>
      <c r="D12" s="12">
        <f>_xlfn.XLOOKUP(A12,Dataset!A:A,Dataset!R:R)</f>
        <v>33.799999999999997</v>
      </c>
      <c r="E12" s="12">
        <f>_xlfn.XLOOKUP(A12,Dataset!A:A,Dataset!T:T)</f>
        <v>67.900000000000006</v>
      </c>
      <c r="F12" s="8">
        <f>_xlfn.XLOOKUP(A12,Dataset!A:A,Dataset!V:V)</f>
        <v>33.799999999999997</v>
      </c>
    </row>
    <row r="13" spans="1:7" ht="14.4" x14ac:dyDescent="0.3">
      <c r="A13" s="7" t="s">
        <v>15</v>
      </c>
      <c r="B13" s="12">
        <f>_xlfn.XLOOKUP(A13,Dataset!A:A,Dataset!G:G)</f>
        <v>0</v>
      </c>
      <c r="C13" s="12">
        <f>_xlfn.XLOOKUP(A13,Dataset!A:A,Dataset!N:N)</f>
        <v>0</v>
      </c>
      <c r="D13" s="12">
        <f>_xlfn.XLOOKUP(A13,Dataset!A:A,Dataset!R:R)</f>
        <v>0</v>
      </c>
      <c r="E13" s="12">
        <f>_xlfn.XLOOKUP(A13,Dataset!A:A,Dataset!T:T)</f>
        <v>0</v>
      </c>
      <c r="F13" s="8">
        <f>_xlfn.XLOOKUP(A13,Dataset!A:A,Dataset!V:V)</f>
        <v>0</v>
      </c>
    </row>
    <row r="14" spans="1:7" ht="14.4" x14ac:dyDescent="0.3">
      <c r="A14" s="7" t="s">
        <v>16</v>
      </c>
      <c r="B14" s="12">
        <f>_xlfn.XLOOKUP(A14,Dataset!A:A,Dataset!G:G)</f>
        <v>21.9</v>
      </c>
      <c r="C14" s="12">
        <f>_xlfn.XLOOKUP(A14,Dataset!A:A,Dataset!N:N)</f>
        <v>61.5</v>
      </c>
      <c r="D14" s="12">
        <f>_xlfn.XLOOKUP(A14,Dataset!A:A,Dataset!R:R)</f>
        <v>40.1</v>
      </c>
      <c r="E14" s="12">
        <f>_xlfn.XLOOKUP(A14,Dataset!A:A,Dataset!T:T)</f>
        <v>76.599999999999994</v>
      </c>
      <c r="F14" s="8">
        <f>_xlfn.XLOOKUP(A14,Dataset!A:A,Dataset!V:V)</f>
        <v>40.1</v>
      </c>
    </row>
    <row r="15" spans="1:7" ht="14.4" x14ac:dyDescent="0.3">
      <c r="A15" s="7" t="s">
        <v>18</v>
      </c>
      <c r="B15" s="12">
        <f>_xlfn.XLOOKUP(A15,Dataset!A:A,Dataset!G:G)</f>
        <v>26.8</v>
      </c>
      <c r="C15" s="12">
        <f>_xlfn.XLOOKUP(A15,Dataset!A:A,Dataset!N:N)</f>
        <v>79.599999999999994</v>
      </c>
      <c r="D15" s="12">
        <f>_xlfn.XLOOKUP(A15,Dataset!A:A,Dataset!R:R)</f>
        <v>47.9</v>
      </c>
      <c r="E15" s="12">
        <f>_xlfn.XLOOKUP(A15,Dataset!A:A,Dataset!T:T)</f>
        <v>96.8</v>
      </c>
      <c r="F15" s="8">
        <f>_xlfn.XLOOKUP(A15,Dataset!A:A,Dataset!V:V)</f>
        <v>47.9</v>
      </c>
    </row>
    <row r="16" spans="1:7" ht="14.4" x14ac:dyDescent="0.3">
      <c r="A16" s="7" t="s">
        <v>20</v>
      </c>
      <c r="B16" s="12">
        <f>_xlfn.XLOOKUP(A16,Dataset!A:A,Dataset!G:G)</f>
        <v>28.5</v>
      </c>
      <c r="C16" s="12">
        <f>_xlfn.XLOOKUP(A16,Dataset!A:A,Dataset!N:N)</f>
        <v>85.4</v>
      </c>
      <c r="D16" s="12">
        <f>_xlfn.XLOOKUP(A16,Dataset!A:A,Dataset!R:R)</f>
        <v>52.3</v>
      </c>
      <c r="E16" s="12">
        <f>_xlfn.XLOOKUP(A16,Dataset!A:A,Dataset!T:T)</f>
        <v>106.1</v>
      </c>
      <c r="F16" s="8">
        <f>_xlfn.XLOOKUP(A16,Dataset!A:A,Dataset!V:V)</f>
        <v>52.3</v>
      </c>
    </row>
    <row r="17" spans="1:6" ht="14.4" x14ac:dyDescent="0.3">
      <c r="A17" s="7" t="s">
        <v>22</v>
      </c>
      <c r="B17" s="12">
        <f>_xlfn.XLOOKUP(A17,Dataset!A:A,Dataset!G:G)</f>
        <v>30.7</v>
      </c>
      <c r="C17" s="12">
        <f>_xlfn.XLOOKUP(A17,Dataset!A:A,Dataset!N:N)</f>
        <v>92.1</v>
      </c>
      <c r="D17" s="12">
        <f>_xlfn.XLOOKUP(A17,Dataset!A:A,Dataset!R:R)</f>
        <v>57</v>
      </c>
      <c r="E17" s="12">
        <f>_xlfn.XLOOKUP(A17,Dataset!A:A,Dataset!T:T)</f>
        <v>115.1</v>
      </c>
      <c r="F17" s="8">
        <f>_xlfn.XLOOKUP(A17,Dataset!A:A,Dataset!V:V)</f>
        <v>57</v>
      </c>
    </row>
    <row r="18" spans="1:6" ht="14.4" x14ac:dyDescent="0.3">
      <c r="A18" s="7" t="s">
        <v>23</v>
      </c>
      <c r="B18" s="12">
        <f>_xlfn.XLOOKUP(A18,Dataset!A:A,Dataset!G:G)</f>
        <v>33.799999999999997</v>
      </c>
      <c r="C18" s="12">
        <f>_xlfn.XLOOKUP(A18,Dataset!A:A,Dataset!N:N)</f>
        <v>101.3</v>
      </c>
      <c r="D18" s="12">
        <f>_xlfn.XLOOKUP(A18,Dataset!A:A,Dataset!R:R)</f>
        <v>61.4</v>
      </c>
      <c r="E18" s="12">
        <f>_xlfn.XLOOKUP(A18,Dataset!A:A,Dataset!T:T)</f>
        <v>124.4</v>
      </c>
      <c r="F18" s="8">
        <f>_xlfn.XLOOKUP(A18,Dataset!A:A,Dataset!V:V)</f>
        <v>61.4</v>
      </c>
    </row>
    <row r="19" spans="1:6" ht="14.4" x14ac:dyDescent="0.3">
      <c r="A19" s="7" t="s">
        <v>24</v>
      </c>
      <c r="B19" s="12">
        <f>_xlfn.XLOOKUP(A19,Dataset!A:A,Dataset!G:G)</f>
        <v>34.700000000000003</v>
      </c>
      <c r="C19" s="12">
        <f>_xlfn.XLOOKUP(A19,Dataset!A:A,Dataset!N:N)</f>
        <v>106.1</v>
      </c>
      <c r="D19" s="12">
        <f>_xlfn.XLOOKUP(A19,Dataset!A:A,Dataset!R:R)</f>
        <v>63.6</v>
      </c>
      <c r="E19" s="12">
        <f>_xlfn.XLOOKUP(A19,Dataset!A:A,Dataset!T:T)</f>
        <v>128.6</v>
      </c>
      <c r="F19" s="8">
        <f>_xlfn.XLOOKUP(A19,Dataset!A:A,Dataset!V:V)</f>
        <v>63.6</v>
      </c>
    </row>
    <row r="20" spans="1:6" ht="14.4" x14ac:dyDescent="0.3">
      <c r="A20" s="7" t="s">
        <v>28</v>
      </c>
      <c r="B20" s="12">
        <f>_xlfn.XLOOKUP(A20,Dataset!A:A,Dataset!G:G)</f>
        <v>0</v>
      </c>
      <c r="C20" s="12">
        <f>_xlfn.XLOOKUP(A20,Dataset!A:A,Dataset!N:N)</f>
        <v>0</v>
      </c>
      <c r="D20" s="12">
        <f>_xlfn.XLOOKUP(A20,Dataset!A:A,Dataset!R:R)</f>
        <v>0</v>
      </c>
      <c r="E20" s="12">
        <f>_xlfn.XLOOKUP(A20,Dataset!A:A,Dataset!T:T)</f>
        <v>0</v>
      </c>
      <c r="F20" s="8">
        <f>_xlfn.XLOOKUP(A20,Dataset!A:A,Dataset!V:V)</f>
        <v>0</v>
      </c>
    </row>
    <row r="21" spans="1:6" ht="14.4" x14ac:dyDescent="0.3">
      <c r="A21" s="7" t="s">
        <v>57</v>
      </c>
      <c r="B21" s="12">
        <f>_xlfn.XLOOKUP(A21,Dataset!A:A,Dataset!G:G)</f>
        <v>41.3</v>
      </c>
      <c r="C21" s="12">
        <f>_xlfn.XLOOKUP(A21,Dataset!A:A,Dataset!N:N)</f>
        <v>124.4</v>
      </c>
      <c r="D21" s="12">
        <f>_xlfn.XLOOKUP(A21,Dataset!A:A,Dataset!R:R)</f>
        <v>75</v>
      </c>
      <c r="E21" s="12">
        <f>_xlfn.XLOOKUP(A21,Dataset!A:A,Dataset!T:T)</f>
        <v>151.5</v>
      </c>
      <c r="F21" s="8">
        <f>_xlfn.XLOOKUP(A21,Dataset!A:A,Dataset!V:V)</f>
        <v>75</v>
      </c>
    </row>
    <row r="22" spans="1:6" ht="14.4" x14ac:dyDescent="0.3">
      <c r="A22" s="7" t="s">
        <v>58</v>
      </c>
      <c r="B22" s="12">
        <f>_xlfn.XLOOKUP(A22,Dataset!A:A,Dataset!G:G)</f>
        <v>-1</v>
      </c>
      <c r="C22" s="12">
        <f>_xlfn.XLOOKUP(A22,Dataset!A:A,Dataset!N:N)</f>
        <v>-1</v>
      </c>
      <c r="D22" s="12">
        <f>_xlfn.XLOOKUP(A22,Dataset!A:A,Dataset!R:R)</f>
        <v>-1</v>
      </c>
      <c r="E22" s="12">
        <f>_xlfn.XLOOKUP(A22,Dataset!A:A,Dataset!T:T)</f>
        <v>-1</v>
      </c>
      <c r="F22" s="8">
        <f>_xlfn.XLOOKUP(A22,Dataset!A:A,Dataset!V:V)</f>
        <v>-1</v>
      </c>
    </row>
    <row r="23" spans="1:6" ht="14.4" x14ac:dyDescent="0.3">
      <c r="A23" s="7" t="s">
        <v>31</v>
      </c>
      <c r="B23" s="12">
        <f>_xlfn.XLOOKUP(A23,Dataset!A:A,Dataset!G:G)</f>
        <v>45</v>
      </c>
      <c r="C23" s="12">
        <f>_xlfn.XLOOKUP(A23,Dataset!A:A,Dataset!N:N)</f>
        <v>133.4</v>
      </c>
      <c r="D23" s="12">
        <f>_xlfn.XLOOKUP(A23,Dataset!A:A,Dataset!R:R)</f>
        <v>79.400000000000006</v>
      </c>
      <c r="E23" s="12">
        <f>_xlfn.XLOOKUP(A23,Dataset!A:A,Dataset!T:T)</f>
        <v>160.9</v>
      </c>
      <c r="F23" s="8">
        <f>_xlfn.XLOOKUP(A23,Dataset!A:A,Dataset!V:V)</f>
        <v>79.400000000000006</v>
      </c>
    </row>
    <row r="24" spans="1:6" ht="14.4" x14ac:dyDescent="0.3">
      <c r="A24" s="7" t="s">
        <v>32</v>
      </c>
      <c r="B24" s="12">
        <f>_xlfn.XLOOKUP(A24,Dataset!A:A,Dataset!G:G)</f>
        <v>-1</v>
      </c>
      <c r="C24" s="12">
        <f>_xlfn.XLOOKUP(A24,Dataset!A:A,Dataset!N:N)</f>
        <v>-1</v>
      </c>
      <c r="D24" s="12">
        <f>_xlfn.XLOOKUP(A24,Dataset!A:A,Dataset!R:R)</f>
        <v>-1</v>
      </c>
      <c r="E24" s="12">
        <f>_xlfn.XLOOKUP(A24,Dataset!A:A,Dataset!T:T)</f>
        <v>-1</v>
      </c>
      <c r="F24" s="8">
        <f>_xlfn.XLOOKUP(A24,Dataset!A:A,Dataset!V:V)</f>
        <v>-1</v>
      </c>
    </row>
    <row r="25" spans="1:6" ht="14.4" x14ac:dyDescent="0.3">
      <c r="A25" s="7" t="s">
        <v>34</v>
      </c>
      <c r="B25" s="12">
        <f>_xlfn.XLOOKUP(A25,Dataset!A:A,Dataset!G:G)</f>
        <v>43.3</v>
      </c>
      <c r="C25" s="12">
        <f>_xlfn.XLOOKUP(A25,Dataset!A:A,Dataset!N:N)</f>
        <v>128.6</v>
      </c>
      <c r="D25" s="12">
        <f>_xlfn.XLOOKUP(A25,Dataset!A:A,Dataset!R:R)</f>
        <v>79.400000000000006</v>
      </c>
      <c r="E25" s="12">
        <f>_xlfn.XLOOKUP(A25,Dataset!A:A,Dataset!T:T)</f>
        <v>160.9</v>
      </c>
      <c r="F25" s="8">
        <f>_xlfn.XLOOKUP(A25,Dataset!A:A,Dataset!V:V)</f>
        <v>79.400000000000006</v>
      </c>
    </row>
    <row r="26" spans="1:6" ht="14.4" x14ac:dyDescent="0.3">
      <c r="A26" s="7" t="s">
        <v>37</v>
      </c>
      <c r="B26" s="12">
        <f>_xlfn.XLOOKUP(A26,Dataset!A:A,Dataset!G:G)</f>
        <v>49.1</v>
      </c>
      <c r="C26" s="12">
        <f>_xlfn.XLOOKUP(A26,Dataset!A:A,Dataset!N:N)</f>
        <v>146.80000000000001</v>
      </c>
      <c r="D26" s="12">
        <f>_xlfn.XLOOKUP(A26,Dataset!A:A,Dataset!R:R)</f>
        <v>90.9</v>
      </c>
      <c r="E26" s="12">
        <f>_xlfn.XLOOKUP(A26,Dataset!A:A,Dataset!T:T)</f>
        <v>183.5</v>
      </c>
      <c r="F26" s="8">
        <f>_xlfn.XLOOKUP(A26,Dataset!A:A,Dataset!V:V)</f>
        <v>90.9</v>
      </c>
    </row>
    <row r="27" spans="1:6" ht="14.4" x14ac:dyDescent="0.3">
      <c r="A27" s="7" t="s">
        <v>39</v>
      </c>
      <c r="B27" s="12">
        <f>_xlfn.XLOOKUP(A27,Dataset!A:A,Dataset!G:G)</f>
        <v>51.8</v>
      </c>
      <c r="C27" s="12">
        <f>_xlfn.XLOOKUP(A27,Dataset!A:A,Dataset!N:N)</f>
        <v>156.4</v>
      </c>
      <c r="D27" s="12">
        <f>_xlfn.XLOOKUP(A27,Dataset!A:A,Dataset!R:R)</f>
        <v>93.1</v>
      </c>
      <c r="E27" s="12">
        <f>_xlfn.XLOOKUP(A27,Dataset!A:A,Dataset!T:T)</f>
        <v>188.1</v>
      </c>
      <c r="F27" s="8">
        <f>_xlfn.XLOOKUP(A27,Dataset!A:A,Dataset!V:V)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8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178</v>
      </c>
    </row>
    <row r="6" spans="1:10" ht="18" x14ac:dyDescent="0.35">
      <c r="A6" s="43" t="s">
        <v>152</v>
      </c>
      <c r="B6" s="40" t="s">
        <v>184</v>
      </c>
    </row>
    <row r="7" spans="1:10" ht="18" x14ac:dyDescent="0.35">
      <c r="A7" s="43"/>
      <c r="B7" s="40" t="s">
        <v>179</v>
      </c>
    </row>
    <row r="8" spans="1:10" ht="18" x14ac:dyDescent="0.35">
      <c r="A8" s="43"/>
      <c r="B8" s="40" t="s">
        <v>180</v>
      </c>
    </row>
    <row r="9" spans="1:10" ht="18" x14ac:dyDescent="0.35">
      <c r="A9" s="43"/>
      <c r="B9" s="40" t="s">
        <v>183</v>
      </c>
    </row>
    <row r="10" spans="1:10" ht="18" x14ac:dyDescent="0.35">
      <c r="A10" s="43"/>
      <c r="B10" s="40" t="s">
        <v>181</v>
      </c>
    </row>
    <row r="11" spans="1:10" ht="18" x14ac:dyDescent="0.35">
      <c r="A11" s="43"/>
      <c r="B11" s="40" t="s">
        <v>182</v>
      </c>
    </row>
    <row r="13" spans="1:10" ht="23.4" x14ac:dyDescent="0.45">
      <c r="A13" s="18" t="s">
        <v>164</v>
      </c>
      <c r="I13" s="2"/>
      <c r="J13" s="2"/>
    </row>
    <row r="14" spans="1:10" x14ac:dyDescent="0.3">
      <c r="A14" s="33" t="s">
        <v>102</v>
      </c>
      <c r="B14" s="17" t="s">
        <v>49</v>
      </c>
      <c r="C14" s="17" t="s">
        <v>50</v>
      </c>
      <c r="D14" s="17" t="s">
        <v>51</v>
      </c>
      <c r="E14" s="17" t="s">
        <v>52</v>
      </c>
      <c r="F14" s="17" t="s">
        <v>54</v>
      </c>
      <c r="I14" s="2"/>
      <c r="J14" s="2"/>
    </row>
    <row r="15" spans="1:10" x14ac:dyDescent="0.3">
      <c r="A15" s="9" t="s">
        <v>120</v>
      </c>
      <c r="B15" s="13">
        <v>20000</v>
      </c>
      <c r="C15" s="13" t="s">
        <v>5</v>
      </c>
      <c r="D15" s="13">
        <v>0</v>
      </c>
      <c r="E15" s="11" t="s">
        <v>6</v>
      </c>
      <c r="F15" s="11">
        <v>24</v>
      </c>
      <c r="I15" s="2"/>
      <c r="J15" s="2"/>
    </row>
    <row r="18" spans="1:6" ht="23.4" x14ac:dyDescent="0.45">
      <c r="A18" s="18" t="s">
        <v>161</v>
      </c>
    </row>
    <row r="19" spans="1:6" x14ac:dyDescent="0.3">
      <c r="A19" s="14" t="s">
        <v>103</v>
      </c>
      <c r="B19" s="17" t="s">
        <v>49</v>
      </c>
      <c r="C19" s="15" t="s">
        <v>50</v>
      </c>
      <c r="D19" s="17" t="s">
        <v>51</v>
      </c>
      <c r="E19" s="15" t="s">
        <v>52</v>
      </c>
      <c r="F19" s="17" t="s">
        <v>54</v>
      </c>
    </row>
    <row r="20" spans="1:6" x14ac:dyDescent="0.3">
      <c r="A20" s="7" t="s">
        <v>120</v>
      </c>
      <c r="B20" s="12">
        <v>20000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121</v>
      </c>
      <c r="B21" s="12">
        <v>20002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122</v>
      </c>
      <c r="B22" s="12">
        <v>20004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123</v>
      </c>
      <c r="B23" s="12">
        <v>20006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124</v>
      </c>
      <c r="B24" s="12">
        <v>20008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125</v>
      </c>
      <c r="B25" s="12">
        <v>20010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126</v>
      </c>
      <c r="B26" s="12">
        <v>20012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127</v>
      </c>
      <c r="B27" s="12">
        <v>20014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128</v>
      </c>
      <c r="B28" s="12">
        <v>20016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129</v>
      </c>
      <c r="B29" s="12">
        <v>20018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130</v>
      </c>
      <c r="B30" s="12">
        <v>20020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131</v>
      </c>
      <c r="B31" s="12">
        <v>20022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132</v>
      </c>
      <c r="B32" s="12">
        <v>20024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133</v>
      </c>
      <c r="B33" s="12">
        <v>20026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134</v>
      </c>
      <c r="B34" s="12">
        <v>20028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135</v>
      </c>
      <c r="B35" s="12">
        <v>20030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136</v>
      </c>
      <c r="B36" s="12">
        <v>20032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137</v>
      </c>
      <c r="B37" s="12">
        <v>20034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138</v>
      </c>
      <c r="B38" s="12">
        <v>20036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139</v>
      </c>
      <c r="B39" s="12">
        <v>20038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140</v>
      </c>
      <c r="B40" s="12">
        <v>20040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141</v>
      </c>
      <c r="B41" s="12">
        <v>20042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142</v>
      </c>
      <c r="B42" s="12">
        <v>20044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143</v>
      </c>
      <c r="B43" s="12">
        <v>20046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144</v>
      </c>
      <c r="B44" s="12">
        <v>20048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145</v>
      </c>
      <c r="B45" s="12">
        <v>20050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146</v>
      </c>
      <c r="B46" s="12">
        <v>20052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147</v>
      </c>
      <c r="B47" s="12">
        <v>20054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148</v>
      </c>
      <c r="B48" s="12">
        <v>20058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149</v>
      </c>
      <c r="B49" s="12">
        <v>20060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111</v>
      </c>
      <c r="B50" s="12">
        <v>21000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112</v>
      </c>
      <c r="B51" s="12">
        <v>21002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113</v>
      </c>
      <c r="B52" s="12">
        <v>21004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114</v>
      </c>
      <c r="B53" s="12">
        <v>21006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7" t="s">
        <v>115</v>
      </c>
      <c r="B54" s="12">
        <v>21008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3">
      <c r="A55" s="7" t="s">
        <v>116</v>
      </c>
      <c r="B55" s="12">
        <v>21010</v>
      </c>
      <c r="C55" s="1" t="s">
        <v>5</v>
      </c>
      <c r="D55" s="12">
        <v>0</v>
      </c>
      <c r="E55" s="1" t="s">
        <v>6</v>
      </c>
      <c r="F55" s="12">
        <v>24</v>
      </c>
    </row>
    <row r="56" spans="1:6" x14ac:dyDescent="0.3">
      <c r="A56" s="7" t="s">
        <v>117</v>
      </c>
      <c r="B56" s="12">
        <v>21012</v>
      </c>
      <c r="C56" s="1" t="s">
        <v>5</v>
      </c>
      <c r="D56" s="12">
        <v>0</v>
      </c>
      <c r="E56" s="1" t="s">
        <v>6</v>
      </c>
      <c r="F56" s="12">
        <v>24</v>
      </c>
    </row>
    <row r="57" spans="1:6" x14ac:dyDescent="0.3">
      <c r="A57" s="7" t="s">
        <v>118</v>
      </c>
      <c r="B57" s="12">
        <v>21014</v>
      </c>
      <c r="C57" s="1" t="s">
        <v>5</v>
      </c>
      <c r="D57" s="12">
        <v>0</v>
      </c>
      <c r="E57" s="1" t="s">
        <v>6</v>
      </c>
      <c r="F57" s="12">
        <v>24</v>
      </c>
    </row>
    <row r="58" spans="1:6" x14ac:dyDescent="0.3">
      <c r="A58" s="9" t="s">
        <v>119</v>
      </c>
      <c r="B58" s="13">
        <v>21016</v>
      </c>
      <c r="C58" s="10" t="s">
        <v>5</v>
      </c>
      <c r="D58" s="13">
        <v>0</v>
      </c>
      <c r="E58" s="10" t="s">
        <v>6</v>
      </c>
      <c r="F58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H24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8" ht="21" x14ac:dyDescent="0.4">
      <c r="A1" s="42" t="s">
        <v>85</v>
      </c>
      <c r="B1" s="41" t="s">
        <v>166</v>
      </c>
    </row>
    <row r="2" spans="1:8" ht="18" x14ac:dyDescent="0.35">
      <c r="B2" s="40" t="s">
        <v>165</v>
      </c>
    </row>
    <row r="5" spans="1:8" ht="14.4" x14ac:dyDescent="0.3">
      <c r="B5" s="1" t="s">
        <v>150</v>
      </c>
    </row>
    <row r="6" spans="1:8" ht="14.4" x14ac:dyDescent="0.3">
      <c r="A6" s="3" t="s">
        <v>53</v>
      </c>
      <c r="B6" s="2" t="s">
        <v>185</v>
      </c>
    </row>
    <row r="7" spans="1:8" ht="14.4" customHeight="1" x14ac:dyDescent="0.3">
      <c r="A7" s="3" t="s">
        <v>152</v>
      </c>
      <c r="B7" s="48" t="s">
        <v>186</v>
      </c>
      <c r="C7" s="48"/>
      <c r="D7" s="48"/>
      <c r="E7" s="48"/>
      <c r="F7" s="48"/>
      <c r="G7" s="48"/>
      <c r="H7" s="48"/>
    </row>
    <row r="8" spans="1:8" ht="13.8" customHeight="1" x14ac:dyDescent="0.3">
      <c r="B8" s="48"/>
      <c r="C8" s="48"/>
      <c r="D8" s="48"/>
      <c r="E8" s="48"/>
      <c r="F8" s="48"/>
      <c r="G8" s="48"/>
      <c r="H8" s="48"/>
    </row>
    <row r="9" spans="1:8" ht="14.4" customHeight="1" x14ac:dyDescent="0.3">
      <c r="B9" s="48"/>
      <c r="C9" s="48"/>
      <c r="D9" s="48"/>
      <c r="E9" s="48"/>
      <c r="F9" s="48"/>
      <c r="G9" s="48"/>
      <c r="H9" s="48"/>
    </row>
    <row r="10" spans="1:8" ht="14.4" customHeight="1" x14ac:dyDescent="0.3">
      <c r="B10" s="49"/>
      <c r="C10" s="49"/>
      <c r="D10" s="49"/>
      <c r="E10" s="49"/>
      <c r="F10" s="49"/>
      <c r="G10" s="49"/>
      <c r="H10" s="49"/>
    </row>
    <row r="12" spans="1:8" ht="23.4" x14ac:dyDescent="0.45">
      <c r="A12" s="18" t="s">
        <v>161</v>
      </c>
    </row>
    <row r="13" spans="1:8" ht="14.4" x14ac:dyDescent="0.3">
      <c r="A13" s="32" t="s">
        <v>86</v>
      </c>
      <c r="B13" s="17" t="s">
        <v>87</v>
      </c>
      <c r="C13" s="17" t="s">
        <v>88</v>
      </c>
    </row>
    <row r="14" spans="1:8" ht="14.4" x14ac:dyDescent="0.3">
      <c r="A14" s="32">
        <v>44927</v>
      </c>
      <c r="B14" s="17" t="s">
        <v>59</v>
      </c>
      <c r="C14" s="17">
        <v>200</v>
      </c>
    </row>
    <row r="15" spans="1:8" ht="14.4" x14ac:dyDescent="0.3">
      <c r="A15" s="32">
        <v>44928</v>
      </c>
      <c r="B15" s="17" t="s">
        <v>60</v>
      </c>
      <c r="C15" s="17">
        <v>20</v>
      </c>
    </row>
    <row r="16" spans="1:8" ht="14.4" x14ac:dyDescent="0.3">
      <c r="A16" s="32">
        <v>44929</v>
      </c>
      <c r="B16" s="17" t="s">
        <v>61</v>
      </c>
      <c r="C16" s="17">
        <v>50</v>
      </c>
    </row>
    <row r="17" spans="1:3" ht="14.4" x14ac:dyDescent="0.3">
      <c r="A17" s="32">
        <v>44930</v>
      </c>
      <c r="B17" s="17" t="s">
        <v>62</v>
      </c>
      <c r="C17" s="17">
        <v>20</v>
      </c>
    </row>
    <row r="18" spans="1:3" ht="14.4" x14ac:dyDescent="0.3">
      <c r="A18" s="32">
        <v>44931</v>
      </c>
      <c r="B18" s="17" t="s">
        <v>63</v>
      </c>
      <c r="C18" s="17">
        <v>10</v>
      </c>
    </row>
    <row r="19" spans="1:3" ht="14.4" x14ac:dyDescent="0.3">
      <c r="A19" s="32">
        <v>44932</v>
      </c>
      <c r="B19" s="17" t="s">
        <v>153</v>
      </c>
      <c r="C19" s="17">
        <v>150</v>
      </c>
    </row>
    <row r="20" spans="1:3" ht="14.4" x14ac:dyDescent="0.3">
      <c r="A20" s="32">
        <v>44933</v>
      </c>
      <c r="B20" s="17" t="s">
        <v>154</v>
      </c>
      <c r="C20" s="17">
        <v>80</v>
      </c>
    </row>
    <row r="21" spans="1:3" ht="14.4" x14ac:dyDescent="0.3">
      <c r="A21" s="32">
        <v>44934</v>
      </c>
      <c r="B21" s="17" t="s">
        <v>155</v>
      </c>
      <c r="C21" s="17">
        <v>20</v>
      </c>
    </row>
    <row r="22" spans="1:3" ht="14.4" x14ac:dyDescent="0.3">
      <c r="A22" s="32">
        <v>44935</v>
      </c>
      <c r="B22" s="17" t="s">
        <v>156</v>
      </c>
      <c r="C22" s="17">
        <v>30</v>
      </c>
    </row>
    <row r="23" spans="1:3" ht="14.4" x14ac:dyDescent="0.3">
      <c r="A23" s="32">
        <v>44936</v>
      </c>
      <c r="B23" s="17" t="s">
        <v>157</v>
      </c>
      <c r="C23" s="17">
        <v>20</v>
      </c>
    </row>
    <row r="24" spans="1:3" ht="14.4" x14ac:dyDescent="0.3">
      <c r="B24" s="17" t="s">
        <v>158</v>
      </c>
      <c r="C24" s="25">
        <f>SUM(C14:C23)</f>
        <v>600</v>
      </c>
    </row>
  </sheetData>
  <mergeCells count="1">
    <mergeCell ref="B7:H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90" zoomScaleNormal="9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v>95</v>
      </c>
    </row>
    <row r="24" spans="1:14" ht="14.4" x14ac:dyDescent="0.3">
      <c r="A24" s="7">
        <v>10100</v>
      </c>
      <c r="B24" s="12">
        <v>10104</v>
      </c>
      <c r="C24" s="44">
        <v>-1</v>
      </c>
    </row>
    <row r="25" spans="1:14" ht="14.4" x14ac:dyDescent="0.3">
      <c r="A25" s="7">
        <v>10108</v>
      </c>
      <c r="B25" s="12">
        <v>10102</v>
      </c>
      <c r="C25" s="44">
        <v>160</v>
      </c>
    </row>
    <row r="26" spans="1:14" ht="14.4" x14ac:dyDescent="0.3">
      <c r="A26" s="7">
        <v>10100</v>
      </c>
      <c r="B26" s="12">
        <v>10106</v>
      </c>
      <c r="C26" s="44">
        <v>185</v>
      </c>
    </row>
    <row r="27" spans="1:14" ht="14.4" x14ac:dyDescent="0.3">
      <c r="A27" s="7">
        <v>10108</v>
      </c>
      <c r="B27" s="12">
        <v>10110</v>
      </c>
      <c r="C27" s="44">
        <v>50</v>
      </c>
    </row>
    <row r="28" spans="1:14" ht="14.4" x14ac:dyDescent="0.3">
      <c r="A28" s="7">
        <v>10102</v>
      </c>
      <c r="B28" s="12">
        <v>10104</v>
      </c>
      <c r="C28" s="44">
        <v>-1</v>
      </c>
    </row>
    <row r="29" spans="1:14" ht="14.4" x14ac:dyDescent="0.3">
      <c r="A29" s="7">
        <v>10106</v>
      </c>
      <c r="B29" s="12">
        <v>10108</v>
      </c>
      <c r="C29" s="44">
        <v>70</v>
      </c>
    </row>
    <row r="30" spans="1:14" ht="14.4" x14ac:dyDescent="0.3">
      <c r="A30" s="7">
        <v>10102</v>
      </c>
      <c r="B30" s="12">
        <v>10106</v>
      </c>
      <c r="C30" s="44">
        <v>90</v>
      </c>
    </row>
    <row r="31" spans="1:14" ht="14.4" x14ac:dyDescent="0.3">
      <c r="A31" s="7">
        <v>10110</v>
      </c>
      <c r="B31" s="12">
        <v>10114</v>
      </c>
      <c r="C31" s="44">
        <v>180</v>
      </c>
    </row>
    <row r="32" spans="1:14" ht="14.4" x14ac:dyDescent="0.3">
      <c r="A32" s="7">
        <v>10104</v>
      </c>
      <c r="B32" s="12">
        <v>10106</v>
      </c>
      <c r="C32" s="44">
        <v>60</v>
      </c>
    </row>
    <row r="33" spans="1:3" ht="14.4" x14ac:dyDescent="0.3">
      <c r="A33" s="7">
        <v>10110</v>
      </c>
      <c r="B33" s="12">
        <v>10112</v>
      </c>
      <c r="C33" s="44">
        <v>115</v>
      </c>
    </row>
    <row r="34" spans="1:3" ht="14.4" x14ac:dyDescent="0.3">
      <c r="A34" s="7">
        <v>10100</v>
      </c>
      <c r="B34" s="12">
        <v>10114</v>
      </c>
      <c r="C34" s="44">
        <v>480</v>
      </c>
    </row>
    <row r="35" spans="1:3" ht="14.4" x14ac:dyDescent="0.3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Uday Kiran</cp:lastModifiedBy>
  <dcterms:created xsi:type="dcterms:W3CDTF">2015-02-10T17:33:11Z</dcterms:created>
  <dcterms:modified xsi:type="dcterms:W3CDTF">2024-10-24T17:45:43Z</dcterms:modified>
</cp:coreProperties>
</file>